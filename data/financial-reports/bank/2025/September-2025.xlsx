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ebsite Repositories\LINS Repository\longisland\data\financial-reports\bank\2025\"/>
    </mc:Choice>
  </mc:AlternateContent>
  <xr:revisionPtr revIDLastSave="0" documentId="13_ncr:1_{031E919B-73E0-40C7-898E-5B94F8E4A15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asic Business Checking 2158" sheetId="1" r:id="rId1"/>
    <sheet name="Business Savings 2141" sheetId="2" r:id="rId2"/>
    <sheet name="Business Money Market 9367" sheetId="3" r:id="rId3"/>
    <sheet name="Rece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1" i="1"/>
  <c r="E12" i="1" s="1"/>
  <c r="E14" i="1" s="1"/>
  <c r="E11" i="3"/>
  <c r="E12" i="3" s="1"/>
  <c r="E14" i="3" s="1"/>
  <c r="E11" i="2"/>
  <c r="E12" i="2" s="1"/>
  <c r="E18" i="2" s="1"/>
  <c r="E15" i="1" l="1"/>
</calcChain>
</file>

<file path=xl/sharedStrings.xml><?xml version="1.0" encoding="utf-8"?>
<sst xmlns="http://schemas.openxmlformats.org/spreadsheetml/2006/main" count="33" uniqueCount="15">
  <si>
    <t>Long Island Nepalese Society-NY 
Financial Document
लङ्ग आईल्यान्ड नेपाली समाज-न्युयोर्क 
वित्तीय कागजात</t>
  </si>
  <si>
    <t>June 2025 LINS-NY Bank Statement</t>
  </si>
  <si>
    <t>Description</t>
  </si>
  <si>
    <t>Begining Balance</t>
  </si>
  <si>
    <t>Deposit</t>
  </si>
  <si>
    <t>Withdraw</t>
  </si>
  <si>
    <t>Ending Balance</t>
  </si>
  <si>
    <t>Credit Interest</t>
  </si>
  <si>
    <t>Current Balance</t>
  </si>
  <si>
    <t>May 2024 LINS-NY Bank Statement</t>
  </si>
  <si>
    <t>.</t>
  </si>
  <si>
    <t>April 2024 LINS-NY Bank Statement</t>
  </si>
  <si>
    <t>Begining Balance (Deposited From Checking 2158)</t>
  </si>
  <si>
    <t>Sigma Print And Design</t>
  </si>
  <si>
    <t>Deposit Shared Branch Mobile Deposit, Bethpage,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</si>
</sst>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8"/>
      <color rgb="FF073763"/>
      <name val="Arial"/>
      <scheme val="minor"/>
    </font>
    <font>
      <sz val="10"/>
      <name val="Arial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7"/>
      <color rgb="FF34A853"/>
      <name val="Arial"/>
      <scheme val="minor"/>
    </font>
    <font>
      <b/>
      <sz val="13"/>
      <color theme="7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5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8">
    <xf numFmtId="0" fontId="0" fillId="0" borderId="0" xfId="0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/>
    <xf numFmtId="164" fontId="5" fillId="0" borderId="0" xfId="0" applyNumberFormat="1" applyFont="1" applyAlignment="1">
      <alignment horizontal="center"/>
    </xf>
    <xf numFmtId="44" fontId="5" fillId="0" borderId="0" xfId="1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0" fontId="10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328289</xdr:colOff>
      <xdr:row>13</xdr:row>
      <xdr:rowOff>110722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83F88-1DA8-883E-30A7-A1FDA85A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62489" cy="2682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7"/>
  <sheetViews>
    <sheetView workbookViewId="0">
      <selection activeCell="B15" sqref="B15:D16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.75" customHeight="1" x14ac:dyDescent="0.25">
      <c r="A11" s="2" t="s">
        <v>3</v>
      </c>
      <c r="B11" s="3">
        <v>23301.98</v>
      </c>
      <c r="C11" s="3"/>
      <c r="D11" s="3"/>
      <c r="E11" s="3">
        <f>B11</f>
        <v>23301.98</v>
      </c>
    </row>
    <row r="12" spans="1:5" ht="15.75" customHeight="1" x14ac:dyDescent="0.25">
      <c r="A12" s="2" t="s">
        <v>13</v>
      </c>
      <c r="B12" s="3"/>
      <c r="C12" s="3"/>
      <c r="D12" s="3">
        <v>43.75</v>
      </c>
      <c r="E12" s="3">
        <f>(E11-D12)</f>
        <v>23258.23</v>
      </c>
    </row>
    <row r="13" spans="1:5" ht="15.75" customHeight="1" x14ac:dyDescent="0.25">
      <c r="A13" s="2" t="s">
        <v>14</v>
      </c>
      <c r="B13" s="3"/>
      <c r="C13" s="3">
        <v>1850</v>
      </c>
      <c r="D13" s="3"/>
      <c r="E13" s="3">
        <f>(E12+C13)</f>
        <v>25108.23</v>
      </c>
    </row>
    <row r="14" spans="1:5" ht="13.2" x14ac:dyDescent="0.25">
      <c r="A14" s="2" t="s">
        <v>7</v>
      </c>
      <c r="B14" s="3"/>
      <c r="C14" s="3">
        <v>4.0599999999999996</v>
      </c>
      <c r="D14" s="3"/>
      <c r="E14" s="3">
        <f>SUM(E13+C14)</f>
        <v>25112.29</v>
      </c>
    </row>
    <row r="15" spans="1:5" ht="13.2" x14ac:dyDescent="0.25">
      <c r="A15" s="2"/>
      <c r="B15" s="24" t="s">
        <v>8</v>
      </c>
      <c r="C15" s="15"/>
      <c r="D15" s="16"/>
      <c r="E15" s="25">
        <f>E14</f>
        <v>25112.29</v>
      </c>
    </row>
    <row r="16" spans="1:5" ht="13.2" x14ac:dyDescent="0.25">
      <c r="A16" s="2"/>
      <c r="B16" s="20"/>
      <c r="C16" s="21"/>
      <c r="D16" s="22"/>
      <c r="E16" s="26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4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5"/>
      <c r="C35" s="3"/>
      <c r="D35" s="3"/>
      <c r="E35" s="3"/>
    </row>
    <row r="36" spans="1:5" ht="13.2" x14ac:dyDescent="0.25">
      <c r="A36" s="2"/>
      <c r="B36" s="5"/>
      <c r="C36" s="3"/>
      <c r="D36" s="3"/>
      <c r="E36" s="3"/>
    </row>
    <row r="37" spans="1:5" ht="13.2" x14ac:dyDescent="0.25">
      <c r="A37" s="6"/>
      <c r="B37" s="5"/>
      <c r="C37" s="5"/>
      <c r="D37" s="5"/>
      <c r="E37" s="5"/>
    </row>
    <row r="38" spans="1:5" ht="13.2" x14ac:dyDescent="0.25">
      <c r="A38" s="6"/>
      <c r="B38" s="5"/>
      <c r="C38" s="5"/>
      <c r="D38" s="5"/>
      <c r="E38" s="5"/>
    </row>
    <row r="39" spans="1:5" ht="13.2" x14ac:dyDescent="0.25">
      <c r="A39" s="6"/>
      <c r="B39" s="5"/>
      <c r="C39" s="5"/>
      <c r="D39" s="5"/>
      <c r="E39" s="5"/>
    </row>
    <row r="40" spans="1:5" ht="13.2" x14ac:dyDescent="0.25">
      <c r="A40" s="6"/>
      <c r="B40" s="5"/>
      <c r="C40" s="5"/>
      <c r="D40" s="5"/>
      <c r="E40" s="5"/>
    </row>
    <row r="41" spans="1:5" ht="15.75" customHeight="1" x14ac:dyDescent="0.3">
      <c r="A41" s="2"/>
      <c r="B41" s="7"/>
      <c r="C41" s="8"/>
      <c r="D41" s="8"/>
      <c r="E41" s="8"/>
    </row>
    <row r="42" spans="1:5" ht="13.2" x14ac:dyDescent="0.25">
      <c r="A42" s="2"/>
      <c r="B42" s="9"/>
      <c r="C42" s="3"/>
      <c r="D42" s="3"/>
      <c r="E42" s="3"/>
    </row>
    <row r="43" spans="1:5" ht="13.2" x14ac:dyDescent="0.25">
      <c r="A43" s="2"/>
      <c r="B43" s="9"/>
      <c r="C43" s="3"/>
      <c r="D43" s="3"/>
      <c r="E43" s="3"/>
    </row>
    <row r="44" spans="1:5" ht="13.2" x14ac:dyDescent="0.25">
      <c r="A44" s="2"/>
      <c r="B44" s="9"/>
      <c r="C44" s="3"/>
      <c r="D44" s="3"/>
      <c r="E44" s="3"/>
    </row>
    <row r="45" spans="1:5" ht="13.2" x14ac:dyDescent="0.25">
      <c r="A45" s="2"/>
      <c r="B45" s="9"/>
      <c r="C45" s="3"/>
      <c r="D45" s="3"/>
      <c r="E45" s="3"/>
    </row>
    <row r="46" spans="1:5" ht="13.2" x14ac:dyDescent="0.25">
      <c r="A46" s="2"/>
      <c r="B46" s="9"/>
      <c r="C46" s="3"/>
      <c r="D46" s="3"/>
      <c r="E46" s="3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10"/>
      <c r="B49" s="10"/>
      <c r="C49" s="10"/>
      <c r="D49" s="10"/>
      <c r="E49" s="10"/>
    </row>
    <row r="50" spans="1:5" ht="13.2" x14ac:dyDescent="0.25">
      <c r="A50" s="10"/>
      <c r="B50" s="10"/>
      <c r="C50" s="10"/>
      <c r="D50" s="10"/>
      <c r="E50" s="10"/>
    </row>
    <row r="51" spans="1:5" ht="13.2" x14ac:dyDescent="0.25">
      <c r="A51" s="10"/>
      <c r="B51" s="10"/>
      <c r="C51" s="10"/>
      <c r="D51" s="10"/>
      <c r="E51" s="10"/>
    </row>
    <row r="52" spans="1:5" ht="13.2" x14ac:dyDescent="0.25">
      <c r="A52" s="10"/>
      <c r="B52" s="10"/>
      <c r="C52" s="10"/>
      <c r="D52" s="10"/>
      <c r="E52" s="10"/>
    </row>
    <row r="53" spans="1:5" ht="13.2" x14ac:dyDescent="0.25">
      <c r="A53" s="10"/>
      <c r="B53" s="10"/>
      <c r="C53" s="10"/>
      <c r="D53" s="10"/>
      <c r="E53" s="10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</sheetData>
  <mergeCells count="4">
    <mergeCell ref="A1:E7"/>
    <mergeCell ref="A8:E9"/>
    <mergeCell ref="B15:D16"/>
    <mergeCell ref="E15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3"/>
  <sheetViews>
    <sheetView workbookViewId="0">
      <selection activeCell="C13" sqref="C13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9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3</v>
      </c>
      <c r="B11" s="3">
        <v>18847.96</v>
      </c>
      <c r="C11" s="3"/>
      <c r="D11" s="3"/>
      <c r="E11" s="3">
        <f>B11</f>
        <v>18847.96</v>
      </c>
    </row>
    <row r="12" spans="1:5" ht="13.2" x14ac:dyDescent="0.25">
      <c r="A12" s="11" t="s">
        <v>7</v>
      </c>
      <c r="B12" s="4"/>
      <c r="C12" s="4">
        <v>4.75</v>
      </c>
      <c r="D12" s="3"/>
      <c r="E12" s="8">
        <f>(E11+C12-D12)</f>
        <v>18852.71</v>
      </c>
    </row>
    <row r="13" spans="1:5" ht="13.2" x14ac:dyDescent="0.25">
      <c r="A13" s="2"/>
      <c r="B13" s="3"/>
      <c r="C13" s="3"/>
      <c r="D13" s="3"/>
      <c r="E13" s="3"/>
    </row>
    <row r="14" spans="1:5" ht="13.2" x14ac:dyDescent="0.25">
      <c r="A14" s="2"/>
      <c r="B14" s="3"/>
      <c r="C14" s="12" t="s">
        <v>10</v>
      </c>
      <c r="D14" s="3"/>
      <c r="E14" s="3"/>
    </row>
    <row r="15" spans="1:5" ht="13.2" x14ac:dyDescent="0.25">
      <c r="A15" s="2"/>
      <c r="B15" s="3"/>
      <c r="C15" s="3"/>
      <c r="D15" s="3"/>
      <c r="E15" s="3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24" t="s">
        <v>8</v>
      </c>
      <c r="C18" s="15"/>
      <c r="D18" s="16"/>
      <c r="E18" s="25">
        <f>E12</f>
        <v>18852.71</v>
      </c>
    </row>
    <row r="19" spans="1:5" ht="13.2" x14ac:dyDescent="0.25">
      <c r="A19" s="2"/>
      <c r="B19" s="20"/>
      <c r="C19" s="21"/>
      <c r="D19" s="22"/>
      <c r="E19" s="26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4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3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2"/>
      <c r="B42" s="5"/>
      <c r="C42" s="3"/>
      <c r="D42" s="3"/>
      <c r="E42" s="3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3.2" x14ac:dyDescent="0.25">
      <c r="A46" s="6"/>
      <c r="B46" s="5"/>
      <c r="C46" s="5"/>
      <c r="D46" s="5"/>
      <c r="E46" s="5"/>
    </row>
    <row r="47" spans="1:5" ht="15.75" customHeight="1" x14ac:dyDescent="0.3">
      <c r="A47" s="2"/>
      <c r="B47" s="7"/>
      <c r="C47" s="8"/>
      <c r="D47" s="8"/>
      <c r="E47" s="8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2"/>
      <c r="B54" s="9"/>
      <c r="C54" s="3"/>
      <c r="D54" s="3"/>
      <c r="E54" s="3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  <row r="73" spans="1:5" ht="13.2" x14ac:dyDescent="0.25">
      <c r="A73" s="10"/>
      <c r="B73" s="10"/>
      <c r="C73" s="10"/>
      <c r="D73" s="10"/>
      <c r="E73" s="10"/>
    </row>
  </sheetData>
  <mergeCells count="4">
    <mergeCell ref="A1:E7"/>
    <mergeCell ref="A8:E9"/>
    <mergeCell ref="B18:D19"/>
    <mergeCell ref="E18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2"/>
  <sheetViews>
    <sheetView tabSelected="1" workbookViewId="0">
      <selection activeCell="B12" sqref="B12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12</v>
      </c>
      <c r="B11" s="13">
        <v>13682.89</v>
      </c>
      <c r="C11" s="3"/>
      <c r="D11" s="3"/>
      <c r="E11" s="3">
        <f>B11</f>
        <v>13682.89</v>
      </c>
    </row>
    <row r="12" spans="1:5" ht="13.2" x14ac:dyDescent="0.25">
      <c r="A12" s="2" t="s">
        <v>7</v>
      </c>
      <c r="B12" s="3"/>
      <c r="C12" s="3">
        <v>2.25</v>
      </c>
      <c r="D12" s="3"/>
      <c r="E12" s="3">
        <f>(E11+C12-D12)</f>
        <v>13685.14</v>
      </c>
    </row>
    <row r="13" spans="1:5" ht="13.2" x14ac:dyDescent="0.25">
      <c r="A13" s="2"/>
      <c r="B13" s="3"/>
      <c r="C13" s="12"/>
      <c r="D13" s="3"/>
      <c r="E13" s="3"/>
    </row>
    <row r="14" spans="1:5" ht="13.2" x14ac:dyDescent="0.25">
      <c r="A14" s="2"/>
      <c r="B14" s="24" t="s">
        <v>8</v>
      </c>
      <c r="C14" s="15"/>
      <c r="D14" s="16"/>
      <c r="E14" s="25">
        <f>E12</f>
        <v>13685.14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4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5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6"/>
      <c r="B42" s="5"/>
      <c r="C42" s="5"/>
      <c r="D42" s="5"/>
      <c r="E42" s="5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5.75" customHeight="1" x14ac:dyDescent="0.3">
      <c r="A46" s="2"/>
      <c r="B46" s="7"/>
      <c r="C46" s="8"/>
      <c r="D46" s="8"/>
      <c r="E46" s="8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"/>
  <sheetViews>
    <sheetView workbookViewId="0">
      <selection sqref="A1:B2"/>
    </sheetView>
  </sheetViews>
  <sheetFormatPr defaultColWidth="12.6640625" defaultRowHeight="15.75" customHeight="1" x14ac:dyDescent="0.25"/>
  <sheetData>
    <row r="1" spans="1:2" ht="13.2" x14ac:dyDescent="0.25">
      <c r="A1" s="27"/>
      <c r="B1" s="18"/>
    </row>
    <row r="2" spans="1:2" ht="15.75" customHeight="1" x14ac:dyDescent="0.25">
      <c r="A2" s="18"/>
      <c r="B2" s="18"/>
    </row>
  </sheetData>
  <mergeCells count="1">
    <mergeCell ref="A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Business Checking 2158</vt:lpstr>
      <vt:lpstr>Business Savings 2141</vt:lpstr>
      <vt:lpstr>Business Money Market 9367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ADHIKARI</cp:lastModifiedBy>
  <dcterms:modified xsi:type="dcterms:W3CDTF">2025-11-17T15:24:39Z</dcterms:modified>
</cp:coreProperties>
</file>